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83907827_nebraska_edu/Documents/Project #4 Group J/PROJECT4_CIVE202/"/>
    </mc:Choice>
  </mc:AlternateContent>
  <xr:revisionPtr revIDLastSave="163" documentId="8_{13EF56F7-A68E-4ED0-BD3A-0B75DEBF5620}" xr6:coauthVersionLast="47" xr6:coauthVersionMax="47" xr10:uidLastSave="{69444B72-16C2-4A13-9097-0C59FD44D9D9}"/>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schedule'!$S$2</definedName>
    <definedName name="_xlnm.Print_Titles" localSheetId="0">'Project schedule'!$4:$6</definedName>
    <definedName name="Project_Start">'Project schedule'!$S$1</definedName>
    <definedName name="task_end" localSheetId="0">'Project schedule'!$G1</definedName>
    <definedName name="task_progress" localSheetId="0">'Project schedule'!$E1</definedName>
    <definedName name="task_start" localSheetId="0">'Project schedule'!$F1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1" l="1"/>
  <c r="K5" i="11" l="1"/>
  <c r="B41" i="11"/>
  <c r="I31" i="11"/>
  <c r="I25" i="11"/>
  <c r="I17" i="11"/>
  <c r="I8" i="11"/>
  <c r="I26" i="11" l="1"/>
  <c r="I27" i="11"/>
  <c r="I9" i="11"/>
  <c r="K6" i="11"/>
  <c r="I38" i="11" l="1"/>
  <c r="I33" i="11"/>
  <c r="I37" i="11"/>
  <c r="I32" i="11"/>
  <c r="I30" i="11"/>
  <c r="I11" i="11"/>
  <c r="I28" i="11"/>
  <c r="I18" i="11"/>
  <c r="I16" i="11"/>
  <c r="L5" i="11"/>
  <c r="M5" i="11" s="1"/>
  <c r="N5" i="11" s="1"/>
  <c r="O5" i="11" s="1"/>
  <c r="P5" i="11" s="1"/>
  <c r="Q5" i="11" s="1"/>
  <c r="R5" i="11" s="1"/>
  <c r="K4" i="11"/>
  <c r="I36" i="11" l="1"/>
  <c r="I29" i="11"/>
  <c r="I19" i="11"/>
  <c r="I13" i="11"/>
  <c r="I15" i="11"/>
  <c r="R4" i="11"/>
  <c r="S5" i="11"/>
  <c r="T5" i="11" s="1"/>
  <c r="U5" i="11" s="1"/>
  <c r="V5" i="11" s="1"/>
  <c r="W5" i="11" s="1"/>
  <c r="X5" i="11" s="1"/>
  <c r="Y5" i="11" s="1"/>
  <c r="L6" i="11"/>
  <c r="I24" i="11" l="1"/>
  <c r="I21" i="11"/>
  <c r="I20" i="11"/>
  <c r="Y4" i="11"/>
  <c r="Z5" i="11"/>
  <c r="AA5" i="11" s="1"/>
  <c r="AB5" i="11" s="1"/>
  <c r="AC5" i="11" s="1"/>
  <c r="AD5" i="11" s="1"/>
  <c r="AE5" i="11" s="1"/>
  <c r="AF5" i="11" s="1"/>
  <c r="M6" i="11"/>
  <c r="AG5" i="11" l="1"/>
  <c r="AH5" i="11" s="1"/>
  <c r="AI5" i="11" s="1"/>
  <c r="AJ5" i="11" s="1"/>
  <c r="AK5" i="11" s="1"/>
  <c r="AL5" i="11" s="1"/>
  <c r="AF4" i="11"/>
  <c r="N6" i="11"/>
  <c r="AM5" i="11" l="1"/>
  <c r="AN5" i="11" s="1"/>
  <c r="AO5" i="11" s="1"/>
  <c r="AP5" i="11" s="1"/>
  <c r="AQ5" i="11" s="1"/>
  <c r="AR5" i="11" s="1"/>
  <c r="AS5" i="11" s="1"/>
  <c r="O6" i="11"/>
  <c r="AT5" i="11" l="1"/>
  <c r="AU5" i="11" s="1"/>
  <c r="AM4" i="11"/>
  <c r="P6" i="11"/>
  <c r="AV5" i="11" l="1"/>
  <c r="AU6" i="11"/>
  <c r="AT4" i="11"/>
  <c r="Q6" i="11"/>
  <c r="AW5" i="11" l="1"/>
  <c r="AV6" i="11"/>
  <c r="AX5" i="11" l="1"/>
  <c r="AW6" i="11"/>
  <c r="R6" i="11"/>
  <c r="S6" i="11"/>
  <c r="AY5" i="11" l="1"/>
  <c r="AX6" i="11"/>
  <c r="T6" i="11"/>
  <c r="AZ5" i="11" l="1"/>
  <c r="BA5" i="11" s="1"/>
  <c r="AY6" i="11"/>
  <c r="U6" i="11"/>
  <c r="BA6" i="11" l="1"/>
  <c r="BB5" i="11"/>
  <c r="BA4" i="11"/>
  <c r="AZ6" i="11"/>
  <c r="V6" i="11"/>
  <c r="BC5" i="11" l="1"/>
  <c r="BB6" i="11"/>
  <c r="W6" i="11"/>
  <c r="BC6" i="11" l="1"/>
  <c r="BD5" i="11"/>
  <c r="X6" i="11"/>
  <c r="BD6" i="11" l="1"/>
  <c r="BE5" i="11"/>
  <c r="Y6" i="11"/>
  <c r="BE6" i="11" l="1"/>
  <c r="BF5" i="11"/>
  <c r="Z6" i="11"/>
  <c r="BG5" i="11" l="1"/>
  <c r="BF6" i="11"/>
  <c r="AA6" i="11"/>
  <c r="BG6" i="11" l="1"/>
  <c r="BH5" i="11"/>
  <c r="AB6" i="11"/>
  <c r="BH6" i="11" l="1"/>
  <c r="BI5" i="11"/>
  <c r="BH4" i="11"/>
  <c r="AC6" i="11"/>
  <c r="BI6" i="11" l="1"/>
  <c r="BJ5" i="11"/>
  <c r="AD6" i="11"/>
  <c r="BK5" i="11" l="1"/>
  <c r="BJ6" i="11"/>
  <c r="AE6" i="11"/>
  <c r="BL5" i="11" l="1"/>
  <c r="BK6" i="11"/>
  <c r="AF6" i="11"/>
  <c r="BM5" i="11" l="1"/>
  <c r="BL6" i="11"/>
  <c r="AG6" i="11"/>
  <c r="BN5" i="11" l="1"/>
  <c r="BM6" i="11"/>
  <c r="AH6" i="11"/>
  <c r="BN6" i="11" l="1"/>
  <c r="AI6" i="11"/>
  <c r="AJ6" i="11" l="1"/>
  <c r="AK6" i="11" l="1"/>
  <c r="AL6" i="11" l="1"/>
  <c r="AM6" i="11" l="1"/>
  <c r="AN6" i="11" l="1"/>
  <c r="AO6" i="11" l="1"/>
  <c r="AP6" i="11" l="1"/>
  <c r="AQ6" i="11" l="1"/>
  <c r="AR6" i="11" l="1"/>
  <c r="AS6" i="11" l="1"/>
  <c r="AT6" i="11" l="1"/>
</calcChain>
</file>

<file path=xl/sharedStrings.xml><?xml version="1.0" encoding="utf-8"?>
<sst xmlns="http://schemas.openxmlformats.org/spreadsheetml/2006/main" count="112" uniqueCount="72">
  <si>
    <t>Project start:</t>
  </si>
  <si>
    <t>CIVE202</t>
  </si>
  <si>
    <t>Display week:</t>
  </si>
  <si>
    <t>TASK</t>
  </si>
  <si>
    <t>ASSIGNED TO</t>
  </si>
  <si>
    <t>PROGRESS</t>
  </si>
  <si>
    <t>START</t>
  </si>
  <si>
    <t>END</t>
  </si>
  <si>
    <t xml:space="preserve">Do not delete this row. This row is hidden to preserve a formula that is used to highlight the current day within the project schedule. </t>
  </si>
  <si>
    <t>Planning</t>
  </si>
  <si>
    <t>Read client prompt</t>
  </si>
  <si>
    <t>Identify tasks</t>
  </si>
  <si>
    <t>Coding</t>
  </si>
  <si>
    <t>Report</t>
  </si>
  <si>
    <t>Examine results of coding data</t>
  </si>
  <si>
    <t>Submission</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</si>
  <si>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</si>
  <si>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</si>
  <si>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</si>
  <si>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</si>
  <si>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</si>
  <si>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</si>
  <si>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</si>
  <si>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</si>
  <si>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</si>
  <si>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</si>
  <si>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</si>
  <si>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</si>
  <si>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</si>
  <si>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</si>
  <si>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All</t>
  </si>
  <si>
    <t>Nay Law Htoo</t>
  </si>
  <si>
    <t>Develop Coding Strategy</t>
  </si>
  <si>
    <t>Submit Final Technical Report</t>
  </si>
  <si>
    <t>Project Closeout &amp; Review</t>
  </si>
  <si>
    <t>DEPENDS ON</t>
  </si>
  <si>
    <t>Scope of Work</t>
  </si>
  <si>
    <t>Create Gnatt Chart</t>
  </si>
  <si>
    <t>Download &amp; Clean CSV File</t>
  </si>
  <si>
    <t>Create/layout of Report</t>
  </si>
  <si>
    <t>Planning, Research, Coding</t>
  </si>
  <si>
    <t>Finalized code</t>
  </si>
  <si>
    <t>Finalized code &amp; research</t>
  </si>
  <si>
    <t>Create GitHub Repository</t>
  </si>
  <si>
    <t>Research NHTS/NGSIM and other</t>
  </si>
  <si>
    <t>Input results and describe/summarize data/discussions</t>
  </si>
  <si>
    <t xml:space="preserve">Submit Final Python Model </t>
  </si>
  <si>
    <t>GitHub ReadMe &amp; Repository (all files in the link)</t>
  </si>
  <si>
    <t>Finalized Code (Ensure code works)</t>
  </si>
  <si>
    <t>Finalized Technical Report</t>
  </si>
  <si>
    <t>Finalized Code(Ensure code works)</t>
  </si>
  <si>
    <t>Identify tasks &amp; Gnatt Chart</t>
  </si>
  <si>
    <t>Raw &amp; Cleaned Data files</t>
  </si>
  <si>
    <t>Egineering Timesheet</t>
  </si>
  <si>
    <t>Engineering Timesheet</t>
  </si>
  <si>
    <t>All Coding Task</t>
  </si>
  <si>
    <t>Finalized Annotated Code Document (ACD)</t>
  </si>
  <si>
    <t>Finalized SOW</t>
  </si>
  <si>
    <t>Project 4 - INTERPRET</t>
  </si>
  <si>
    <t>Camdin Wagner McGuigan, Nay Law Htoo, Ahmad Rezaie</t>
  </si>
  <si>
    <t>Ahmad</t>
  </si>
  <si>
    <t>Nay Law, Camdin, Ahmad</t>
  </si>
  <si>
    <t>Camdin</t>
  </si>
  <si>
    <t>Nay Law, Camdin</t>
  </si>
  <si>
    <t>Download &amp; Clean (NRI, SVI, CDC, Metadata) CSV File</t>
  </si>
  <si>
    <t>Handle missing values and Merging Data</t>
  </si>
  <si>
    <t>Analyze NRI Multiplier Formula</t>
  </si>
  <si>
    <t>Code Weighted Additive Model</t>
  </si>
  <si>
    <t>Sensitivity Analysis &amp; Bais Review</t>
  </si>
  <si>
    <t>Gantt Chart</t>
  </si>
  <si>
    <t>Plot Graphs</t>
  </si>
  <si>
    <t>Code Weighted Additive Model &amp; Plots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</si>
</sst>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2">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20"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167"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164" fontId="17" fillId="10" borderId="9" xfId="10" applyFont="1" applyFill="1" applyBorder="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164" fontId="17" fillId="10" borderId="8" xfId="10" applyFont="1" applyFill="1" applyBorder="1">
      <alignment horizontal="center" vertical="center"/>
    </xf>
    <xf numFmtId="9" fontId="1" fillId="9" borderId="0" xfId="2" applyFont="1" applyFill="1" applyAlignment="1">
      <alignment horizontal="center" vertical="center"/>
    </xf>
    <xf numFmtId="9" fontId="1" fillId="8" borderId="0" xfId="2" applyFont="1" applyFill="1" applyAlignment="1">
      <alignment horizontal="center" vertical="center"/>
    </xf>
    <xf numFmtId="9" fontId="1" fillId="7" borderId="0" xfId="2" applyFont="1" applyFill="1" applyAlignment="1">
      <alignment horizontal="center" vertical="center"/>
    </xf>
    <xf numFmtId="0" fontId="3" fillId="2" borderId="0" xfId="0" applyFont="1" applyFill="1" applyAlignment="1">
      <alignment horizontal="center" vertical="center"/>
    </xf>
    <xf numFmtId="0" fontId="17" fillId="4" borderId="5" xfId="12" applyFont="1" applyFill="1" applyBorder="1" applyAlignment="1">
      <alignment horizontal="left" vertical="center"/>
    </xf>
    <xf numFmtId="0" fontId="17" fillId="4" borderId="5" xfId="12" applyFont="1" applyFill="1" applyBorder="1" applyAlignment="1">
      <alignment vertical="center"/>
    </xf>
    <xf numFmtId="0" fontId="17" fillId="5" borderId="8" xfId="12" applyFont="1" applyFill="1" applyBorder="1" applyAlignment="1">
      <alignment vertical="center"/>
    </xf>
    <xf numFmtId="0" fontId="18" fillId="11" borderId="16" xfId="0" applyFont="1" applyFill="1" applyBorder="1" applyAlignment="1">
      <alignment vertical="center"/>
    </xf>
    <xf numFmtId="0" fontId="18" fillId="11" borderId="21" xfId="0" applyFont="1" applyFill="1" applyBorder="1" applyAlignment="1">
      <alignment vertical="center"/>
    </xf>
    <xf numFmtId="0" fontId="18" fillId="11" borderId="16" xfId="0" applyFont="1" applyFill="1" applyBorder="1" applyAlignment="1">
      <alignment horizontal="left" vertical="center" indent="1"/>
    </xf>
    <xf numFmtId="0" fontId="18" fillId="11" borderId="21" xfId="0" applyFont="1" applyFill="1" applyBorder="1" applyAlignment="1">
      <alignment horizontal="left" vertical="center" indent="1"/>
    </xf>
    <xf numFmtId="0" fontId="11" fillId="0" borderId="0" xfId="3" applyAlignment="1">
      <alignment wrapText="1"/>
    </xf>
    <xf numFmtId="0" fontId="18" fillId="11" borderId="16" xfId="0" applyFont="1" applyFill="1" applyBorder="1" applyAlignment="1">
      <alignment horizontal="center" vertical="center"/>
    </xf>
    <xf numFmtId="0" fontId="18" fillId="11" borderId="21" xfId="0" applyFont="1" applyFill="1" applyBorder="1" applyAlignment="1">
      <alignment horizontal="center" vertical="center"/>
    </xf>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xf numFmtId="166" fontId="17" fillId="2" borderId="13" xfId="0" applyNumberFormat="1" applyFont="1" applyFill="1" applyBorder="1" applyAlignment="1">
      <alignment horizontal="center" vertical="center" wrapText="1"/>
    </xf>
    <xf numFmtId="166" fontId="17" fillId="2" borderId="19" xfId="0" applyNumberFormat="1" applyFont="1" applyFill="1" applyBorder="1" applyAlignment="1">
      <alignment horizontal="center" vertical="center" wrapText="1"/>
    </xf>
    <xf numFmtId="166" fontId="17" fillId="2" borderId="18" xfId="0" applyNumberFormat="1" applyFont="1" applyFill="1" applyBorder="1" applyAlignment="1">
      <alignment horizontal="center" vertical="center" wrapText="1"/>
    </xf>
    <xf numFmtId="0" fontId="17" fillId="10" borderId="9" xfId="12" applyFont="1" applyFill="1" applyBorder="1" applyAlignment="1">
      <alignment horizontal="lef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N45"/>
  <sheetViews>
    <sheetView showGridLines="0" tabSelected="1" showRuler="0" topLeftCell="A17" zoomScale="56" zoomScaleNormal="69" zoomScalePageLayoutView="70" workbookViewId="0">
      <selection activeCell="G42" sqref="G42"/>
    </sheetView>
  </sheetViews>
  <sheetFormatPr defaultColWidth="8.69921875" defaultRowHeight="30" customHeight="1" x14ac:dyDescent="0.25"/>
  <cols>
    <col min="1" max="1" width="2.69921875" style="11" customWidth="1"/>
    <col min="2" max="2" width="65" bestFit="1" customWidth="1"/>
    <col min="3" max="3" width="79.59765625" bestFit="1" customWidth="1"/>
    <col min="4" max="4" width="41.5" bestFit="1" customWidth="1"/>
    <col min="5" max="5" width="13.3984375" bestFit="1" customWidth="1"/>
    <col min="6" max="6" width="10.69921875" style="2" customWidth="1"/>
    <col min="7" max="7" width="10.69921875" customWidth="1"/>
    <col min="8" max="8" width="3.09765625" customWidth="1"/>
    <col min="9" max="10" width="0.796875" customWidth="1"/>
    <col min="11" max="67" width="2.69921875" customWidth="1"/>
  </cols>
  <sheetData>
    <row r="1" spans="1:66" ht="90" customHeight="1" x14ac:dyDescent="1.45">
      <c r="A1" s="12"/>
      <c r="B1" s="80" t="s">
        <v>58</v>
      </c>
      <c r="C1" s="14"/>
      <c r="D1" s="14"/>
      <c r="E1" s="15"/>
      <c r="F1" s="16"/>
      <c r="G1" s="17"/>
      <c r="I1" s="1"/>
      <c r="J1" s="1"/>
      <c r="K1" s="106" t="s">
        <v>0</v>
      </c>
      <c r="L1" s="107"/>
      <c r="M1" s="107"/>
      <c r="N1" s="107"/>
      <c r="O1" s="107"/>
      <c r="P1" s="107"/>
      <c r="Q1" s="107"/>
      <c r="R1" s="20"/>
      <c r="S1" s="105">
        <v>46115</v>
      </c>
      <c r="T1" s="104"/>
      <c r="U1" s="104"/>
      <c r="V1" s="104"/>
      <c r="W1" s="104"/>
      <c r="X1" s="104"/>
      <c r="Y1" s="104"/>
      <c r="Z1" s="104"/>
      <c r="AA1" s="104"/>
      <c r="AB1" s="104"/>
    </row>
    <row r="2" spans="1:66" ht="30" customHeight="1" x14ac:dyDescent="0.6">
      <c r="B2" s="78" t="s">
        <v>1</v>
      </c>
      <c r="C2" s="79" t="s">
        <v>59</v>
      </c>
      <c r="D2" s="79"/>
      <c r="E2" s="18"/>
      <c r="F2" s="19"/>
      <c r="G2" s="18"/>
      <c r="K2" s="106" t="s">
        <v>2</v>
      </c>
      <c r="L2" s="107"/>
      <c r="M2" s="107"/>
      <c r="N2" s="107"/>
      <c r="O2" s="107"/>
      <c r="P2" s="107"/>
      <c r="Q2" s="107"/>
      <c r="R2" s="20"/>
      <c r="S2" s="103">
        <v>1</v>
      </c>
      <c r="T2" s="104"/>
      <c r="U2" s="104"/>
      <c r="V2" s="104"/>
      <c r="W2" s="104"/>
      <c r="X2" s="104"/>
      <c r="Y2" s="104"/>
      <c r="Z2" s="104"/>
      <c r="AA2" s="104"/>
      <c r="AB2" s="104"/>
    </row>
    <row r="3" spans="1:66" s="22" customFormat="1" ht="30" customHeight="1" x14ac:dyDescent="0.25">
      <c r="A3" s="11"/>
      <c r="B3" s="21"/>
      <c r="E3" s="23"/>
      <c r="F3" s="24"/>
    </row>
    <row r="4" spans="1:66" s="22" customFormat="1" ht="30" customHeight="1" x14ac:dyDescent="0.25">
      <c r="A4" s="12"/>
      <c r="B4" s="25"/>
      <c r="F4" s="26"/>
      <c r="K4" s="110">
        <f>K5</f>
        <v>46111</v>
      </c>
      <c r="L4" s="108"/>
      <c r="M4" s="108"/>
      <c r="N4" s="108"/>
      <c r="O4" s="108"/>
      <c r="P4" s="108"/>
      <c r="Q4" s="108"/>
      <c r="R4" s="108">
        <f>R5</f>
        <v>46118</v>
      </c>
      <c r="S4" s="108"/>
      <c r="T4" s="108"/>
      <c r="U4" s="108"/>
      <c r="V4" s="108"/>
      <c r="W4" s="108"/>
      <c r="X4" s="108"/>
      <c r="Y4" s="108">
        <f>Y5</f>
        <v>46125</v>
      </c>
      <c r="Z4" s="108"/>
      <c r="AA4" s="108"/>
      <c r="AB4" s="108"/>
      <c r="AC4" s="108"/>
      <c r="AD4" s="108"/>
      <c r="AE4" s="108"/>
      <c r="AF4" s="108">
        <f>AF5</f>
        <v>46132</v>
      </c>
      <c r="AG4" s="108"/>
      <c r="AH4" s="108"/>
      <c r="AI4" s="108"/>
      <c r="AJ4" s="108"/>
      <c r="AK4" s="108"/>
      <c r="AL4" s="108"/>
      <c r="AM4" s="108">
        <f>AM5</f>
        <v>46139</v>
      </c>
      <c r="AN4" s="108"/>
      <c r="AO4" s="108"/>
      <c r="AP4" s="108"/>
      <c r="AQ4" s="108"/>
      <c r="AR4" s="108"/>
      <c r="AS4" s="108"/>
      <c r="AT4" s="108">
        <f>AT5</f>
        <v>46146</v>
      </c>
      <c r="AU4" s="108"/>
      <c r="AV4" s="108"/>
      <c r="AW4" s="108"/>
      <c r="AX4" s="108"/>
      <c r="AY4" s="108"/>
      <c r="AZ4" s="108"/>
      <c r="BA4" s="108">
        <f>BA5</f>
        <v>46153</v>
      </c>
      <c r="BB4" s="108"/>
      <c r="BC4" s="108"/>
      <c r="BD4" s="108"/>
      <c r="BE4" s="108"/>
      <c r="BF4" s="108"/>
      <c r="BG4" s="108"/>
      <c r="BH4" s="108">
        <f>BH5</f>
        <v>46160</v>
      </c>
      <c r="BI4" s="108"/>
      <c r="BJ4" s="108"/>
      <c r="BK4" s="108"/>
      <c r="BL4" s="108"/>
      <c r="BM4" s="108"/>
      <c r="BN4" s="109"/>
    </row>
    <row r="5" spans="1:66" s="22" customFormat="1" ht="15" customHeight="1" x14ac:dyDescent="0.25">
      <c r="A5" s="100"/>
      <c r="B5" s="98" t="s">
        <v>3</v>
      </c>
      <c r="C5" s="96" t="s">
        <v>4</v>
      </c>
      <c r="D5" s="96" t="s">
        <v>35</v>
      </c>
      <c r="E5" s="101" t="s">
        <v>5</v>
      </c>
      <c r="F5" s="101" t="s">
        <v>6</v>
      </c>
      <c r="G5" s="101" t="s">
        <v>7</v>
      </c>
      <c r="K5" s="27">
        <f>Project_Start-WEEKDAY(Project_Start,1)+2+7*(Display_Week-1)</f>
        <v>46111</v>
      </c>
      <c r="L5" s="27">
        <f>K5+1</f>
        <v>46112</v>
      </c>
      <c r="M5" s="27">
        <f t="shared" ref="M5:AZ5" si="0">L5+1</f>
        <v>46113</v>
      </c>
      <c r="N5" s="27">
        <f t="shared" si="0"/>
        <v>46114</v>
      </c>
      <c r="O5" s="27">
        <f t="shared" si="0"/>
        <v>46115</v>
      </c>
      <c r="P5" s="27">
        <f t="shared" si="0"/>
        <v>46116</v>
      </c>
      <c r="Q5" s="28">
        <f t="shared" si="0"/>
        <v>46117</v>
      </c>
      <c r="R5" s="29">
        <f>Q5+1</f>
        <v>46118</v>
      </c>
      <c r="S5" s="27">
        <f>R5+1</f>
        <v>46119</v>
      </c>
      <c r="T5" s="27">
        <f t="shared" si="0"/>
        <v>46120</v>
      </c>
      <c r="U5" s="27">
        <f t="shared" si="0"/>
        <v>46121</v>
      </c>
      <c r="V5" s="27">
        <f t="shared" si="0"/>
        <v>46122</v>
      </c>
      <c r="W5" s="27">
        <f t="shared" si="0"/>
        <v>46123</v>
      </c>
      <c r="X5" s="28">
        <f t="shared" si="0"/>
        <v>46124</v>
      </c>
      <c r="Y5" s="29">
        <f>X5+1</f>
        <v>46125</v>
      </c>
      <c r="Z5" s="27">
        <f>Y5+1</f>
        <v>46126</v>
      </c>
      <c r="AA5" s="27">
        <f t="shared" si="0"/>
        <v>46127</v>
      </c>
      <c r="AB5" s="27">
        <f t="shared" si="0"/>
        <v>46128</v>
      </c>
      <c r="AC5" s="27">
        <f t="shared" si="0"/>
        <v>46129</v>
      </c>
      <c r="AD5" s="27">
        <f t="shared" si="0"/>
        <v>46130</v>
      </c>
      <c r="AE5" s="28">
        <f t="shared" si="0"/>
        <v>46131</v>
      </c>
      <c r="AF5" s="29">
        <f>AE5+1</f>
        <v>46132</v>
      </c>
      <c r="AG5" s="27">
        <f>AF5+1</f>
        <v>46133</v>
      </c>
      <c r="AH5" s="27">
        <f t="shared" si="0"/>
        <v>46134</v>
      </c>
      <c r="AI5" s="27">
        <f t="shared" si="0"/>
        <v>46135</v>
      </c>
      <c r="AJ5" s="27">
        <f t="shared" si="0"/>
        <v>46136</v>
      </c>
      <c r="AK5" s="27">
        <f t="shared" si="0"/>
        <v>46137</v>
      </c>
      <c r="AL5" s="28">
        <f t="shared" si="0"/>
        <v>46138</v>
      </c>
      <c r="AM5" s="29">
        <f>AL5+1</f>
        <v>46139</v>
      </c>
      <c r="AN5" s="27">
        <f>AM5+1</f>
        <v>46140</v>
      </c>
      <c r="AO5" s="27">
        <f t="shared" si="0"/>
        <v>46141</v>
      </c>
      <c r="AP5" s="27">
        <f t="shared" si="0"/>
        <v>46142</v>
      </c>
      <c r="AQ5" s="27">
        <f t="shared" si="0"/>
        <v>46143</v>
      </c>
      <c r="AR5" s="27">
        <f t="shared" si="0"/>
        <v>46144</v>
      </c>
      <c r="AS5" s="28">
        <f t="shared" si="0"/>
        <v>46145</v>
      </c>
      <c r="AT5" s="29">
        <f>AS5+1</f>
        <v>46146</v>
      </c>
      <c r="AU5" s="27">
        <f>AT5+1</f>
        <v>46147</v>
      </c>
      <c r="AV5" s="27">
        <f t="shared" si="0"/>
        <v>46148</v>
      </c>
      <c r="AW5" s="27">
        <f t="shared" si="0"/>
        <v>46149</v>
      </c>
      <c r="AX5" s="27">
        <f t="shared" si="0"/>
        <v>46150</v>
      </c>
      <c r="AY5" s="27">
        <f t="shared" si="0"/>
        <v>46151</v>
      </c>
      <c r="AZ5" s="28">
        <f t="shared" si="0"/>
        <v>46152</v>
      </c>
      <c r="BA5" s="29">
        <f>AZ5+1</f>
        <v>46153</v>
      </c>
      <c r="BB5" s="27">
        <f>BA5+1</f>
        <v>46154</v>
      </c>
      <c r="BC5" s="27">
        <f t="shared" ref="BC5:BG5" si="1">BB5+1</f>
        <v>46155</v>
      </c>
      <c r="BD5" s="27">
        <f t="shared" si="1"/>
        <v>46156</v>
      </c>
      <c r="BE5" s="27">
        <f t="shared" si="1"/>
        <v>46157</v>
      </c>
      <c r="BF5" s="27">
        <f t="shared" si="1"/>
        <v>46158</v>
      </c>
      <c r="BG5" s="28">
        <f t="shared" si="1"/>
        <v>46159</v>
      </c>
      <c r="BH5" s="29">
        <f>BG5+1</f>
        <v>46160</v>
      </c>
      <c r="BI5" s="27">
        <f>BH5+1</f>
        <v>46161</v>
      </c>
      <c r="BJ5" s="27">
        <f t="shared" ref="BJ5:BN5" si="2">BI5+1</f>
        <v>46162</v>
      </c>
      <c r="BK5" s="27">
        <f t="shared" si="2"/>
        <v>46163</v>
      </c>
      <c r="BL5" s="27">
        <f t="shared" si="2"/>
        <v>46164</v>
      </c>
      <c r="BM5" s="27">
        <f t="shared" si="2"/>
        <v>46165</v>
      </c>
      <c r="BN5" s="27">
        <f t="shared" si="2"/>
        <v>46166</v>
      </c>
    </row>
    <row r="6" spans="1:66" s="22" customFormat="1" ht="15" customHeight="1" thickBot="1" x14ac:dyDescent="0.3">
      <c r="A6" s="100"/>
      <c r="B6" s="99"/>
      <c r="C6" s="97"/>
      <c r="D6" s="97"/>
      <c r="E6" s="102"/>
      <c r="F6" s="102"/>
      <c r="G6" s="102"/>
      <c r="K6" s="30" t="str">
        <f t="shared" ref="K6:AP6" si="3">LEFT(TEXT(K5,"ddd"),1)</f>
        <v>M</v>
      </c>
      <c r="L6" s="31" t="str">
        <f t="shared" si="3"/>
        <v>T</v>
      </c>
      <c r="M6" s="31" t="str">
        <f t="shared" si="3"/>
        <v>W</v>
      </c>
      <c r="N6" s="31" t="str">
        <f t="shared" si="3"/>
        <v>T</v>
      </c>
      <c r="O6" s="31" t="str">
        <f t="shared" si="3"/>
        <v>F</v>
      </c>
      <c r="P6" s="31" t="str">
        <f t="shared" si="3"/>
        <v>S</v>
      </c>
      <c r="Q6" s="31" t="str">
        <f t="shared" si="3"/>
        <v>S</v>
      </c>
      <c r="R6" s="31" t="str">
        <f t="shared" si="3"/>
        <v>M</v>
      </c>
      <c r="S6" s="31" t="str">
        <f t="shared" si="3"/>
        <v>T</v>
      </c>
      <c r="T6" s="31" t="str">
        <f t="shared" si="3"/>
        <v>W</v>
      </c>
      <c r="U6" s="31" t="str">
        <f t="shared" si="3"/>
        <v>T</v>
      </c>
      <c r="V6" s="31" t="str">
        <f t="shared" si="3"/>
        <v>F</v>
      </c>
      <c r="W6" s="31" t="str">
        <f t="shared" si="3"/>
        <v>S</v>
      </c>
      <c r="X6" s="31" t="str">
        <f t="shared" si="3"/>
        <v>S</v>
      </c>
      <c r="Y6" s="31" t="str">
        <f t="shared" si="3"/>
        <v>M</v>
      </c>
      <c r="Z6" s="31" t="str">
        <f t="shared" si="3"/>
        <v>T</v>
      </c>
      <c r="AA6" s="31" t="str">
        <f t="shared" si="3"/>
        <v>W</v>
      </c>
      <c r="AB6" s="31" t="str">
        <f t="shared" si="3"/>
        <v>T</v>
      </c>
      <c r="AC6" s="31" t="str">
        <f t="shared" si="3"/>
        <v>F</v>
      </c>
      <c r="AD6" s="31" t="str">
        <f t="shared" si="3"/>
        <v>S</v>
      </c>
      <c r="AE6" s="31" t="str">
        <f t="shared" si="3"/>
        <v>S</v>
      </c>
      <c r="AF6" s="31" t="str">
        <f t="shared" si="3"/>
        <v>M</v>
      </c>
      <c r="AG6" s="31" t="str">
        <f t="shared" si="3"/>
        <v>T</v>
      </c>
      <c r="AH6" s="31" t="str">
        <f t="shared" si="3"/>
        <v>W</v>
      </c>
      <c r="AI6" s="31" t="str">
        <f t="shared" si="3"/>
        <v>T</v>
      </c>
      <c r="AJ6" s="31" t="str">
        <f t="shared" si="3"/>
        <v>F</v>
      </c>
      <c r="AK6" s="31" t="str">
        <f t="shared" si="3"/>
        <v>S</v>
      </c>
      <c r="AL6" s="31" t="str">
        <f t="shared" si="3"/>
        <v>S</v>
      </c>
      <c r="AM6" s="31" t="str">
        <f t="shared" si="3"/>
        <v>M</v>
      </c>
      <c r="AN6" s="31" t="str">
        <f t="shared" si="3"/>
        <v>T</v>
      </c>
      <c r="AO6" s="31" t="str">
        <f t="shared" si="3"/>
        <v>W</v>
      </c>
      <c r="AP6" s="31" t="str">
        <f t="shared" si="3"/>
        <v>T</v>
      </c>
      <c r="AQ6" s="31" t="str">
        <f t="shared" ref="AQ6:BN6" si="4">LEFT(TEXT(AQ5,"ddd"),1)</f>
        <v>F</v>
      </c>
      <c r="AR6" s="31" t="str">
        <f t="shared" si="4"/>
        <v>S</v>
      </c>
      <c r="AS6" s="31" t="str">
        <f t="shared" si="4"/>
        <v>S</v>
      </c>
      <c r="AT6" s="31" t="str">
        <f t="shared" si="4"/>
        <v>M</v>
      </c>
      <c r="AU6" s="31" t="str">
        <f t="shared" si="4"/>
        <v>T</v>
      </c>
      <c r="AV6" s="31" t="str">
        <f t="shared" si="4"/>
        <v>W</v>
      </c>
      <c r="AW6" s="31" t="str">
        <f t="shared" si="4"/>
        <v>T</v>
      </c>
      <c r="AX6" s="31" t="str">
        <f t="shared" si="4"/>
        <v>F</v>
      </c>
      <c r="AY6" s="31" t="str">
        <f t="shared" si="4"/>
        <v>S</v>
      </c>
      <c r="AZ6" s="31" t="str">
        <f t="shared" si="4"/>
        <v>S</v>
      </c>
      <c r="BA6" s="31" t="str">
        <f t="shared" si="4"/>
        <v>M</v>
      </c>
      <c r="BB6" s="31" t="str">
        <f t="shared" si="4"/>
        <v>T</v>
      </c>
      <c r="BC6" s="31" t="str">
        <f t="shared" si="4"/>
        <v>W</v>
      </c>
      <c r="BD6" s="31" t="str">
        <f t="shared" si="4"/>
        <v>T</v>
      </c>
      <c r="BE6" s="31" t="str">
        <f t="shared" si="4"/>
        <v>F</v>
      </c>
      <c r="BF6" s="31" t="str">
        <f t="shared" si="4"/>
        <v>S</v>
      </c>
      <c r="BG6" s="31" t="str">
        <f t="shared" si="4"/>
        <v>S</v>
      </c>
      <c r="BH6" s="31" t="str">
        <f t="shared" si="4"/>
        <v>M</v>
      </c>
      <c r="BI6" s="31" t="str">
        <f t="shared" si="4"/>
        <v>T</v>
      </c>
      <c r="BJ6" s="31" t="str">
        <f t="shared" si="4"/>
        <v>W</v>
      </c>
      <c r="BK6" s="31" t="str">
        <f t="shared" si="4"/>
        <v>T</v>
      </c>
      <c r="BL6" s="31" t="str">
        <f t="shared" si="4"/>
        <v>F</v>
      </c>
      <c r="BM6" s="31" t="str">
        <f t="shared" si="4"/>
        <v>S</v>
      </c>
      <c r="BN6" s="32" t="str">
        <f t="shared" si="4"/>
        <v>S</v>
      </c>
    </row>
    <row r="7" spans="1:66" s="22" customFormat="1" ht="30" hidden="1" customHeight="1" thickBot="1" x14ac:dyDescent="0.3">
      <c r="A7" s="11" t="s">
        <v>8</v>
      </c>
      <c r="B7" s="33"/>
      <c r="C7" s="34"/>
      <c r="D7" s="34"/>
      <c r="E7" s="33"/>
      <c r="F7" s="33"/>
      <c r="G7" s="33"/>
      <c r="I7" s="22" t="str">
        <f>IF(OR(ISBLANK(task_start),ISBLANK(task_end)),"",task_end-task_start+1)</f>
        <v/>
      </c>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row>
    <row r="8" spans="1:66" s="42" customFormat="1" ht="30" customHeight="1" thickBot="1" x14ac:dyDescent="0.3">
      <c r="A8" s="12"/>
      <c r="B8" s="36" t="s">
        <v>9</v>
      </c>
      <c r="C8" s="37"/>
      <c r="D8" s="37"/>
      <c r="E8" s="38"/>
      <c r="F8" s="39"/>
      <c r="G8" s="40"/>
      <c r="H8" s="13"/>
      <c r="I8" s="4" t="str">
        <f t="shared" ref="B8:I41" si="5">IF(OR(ISBLANK(task_start),ISBLANK(task_end)),"",task_end-task_start+1)</f>
        <v/>
      </c>
      <c r="J8" s="13"/>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row>
    <row r="9" spans="1:66" s="42" customFormat="1" ht="30" customHeight="1" thickBot="1" x14ac:dyDescent="0.3">
      <c r="A9" s="12"/>
      <c r="B9" s="43" t="s">
        <v>10</v>
      </c>
      <c r="C9" s="44" t="s">
        <v>61</v>
      </c>
      <c r="D9" s="44"/>
      <c r="E9" s="50">
        <v>1</v>
      </c>
      <c r="F9" s="46">
        <v>46115</v>
      </c>
      <c r="G9" s="46">
        <v>46116</v>
      </c>
      <c r="H9" s="13"/>
      <c r="I9" s="4">
        <f t="shared" si="5"/>
        <v>2</v>
      </c>
      <c r="J9" s="13"/>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row>
    <row r="10" spans="1:66" s="42" customFormat="1" ht="30" customHeight="1" thickBot="1" x14ac:dyDescent="0.3">
      <c r="A10" s="12"/>
      <c r="B10" s="43" t="s">
        <v>11</v>
      </c>
      <c r="C10" s="44" t="s">
        <v>61</v>
      </c>
      <c r="D10" s="49" t="s">
        <v>10</v>
      </c>
      <c r="E10" s="45">
        <v>1</v>
      </c>
      <c r="F10" s="46">
        <v>46115</v>
      </c>
      <c r="G10" s="46">
        <v>46116</v>
      </c>
      <c r="H10" s="13"/>
      <c r="I10" s="4"/>
      <c r="J10" s="13"/>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row>
    <row r="11" spans="1:66" s="42" customFormat="1" ht="30" customHeight="1" thickBot="1" x14ac:dyDescent="0.3">
      <c r="A11" s="12"/>
      <c r="B11" s="48" t="s">
        <v>44</v>
      </c>
      <c r="C11" s="49" t="s">
        <v>61</v>
      </c>
      <c r="D11" s="49" t="s">
        <v>10</v>
      </c>
      <c r="E11" s="50">
        <v>1</v>
      </c>
      <c r="F11" s="46">
        <v>46116</v>
      </c>
      <c r="G11" s="46">
        <v>46117</v>
      </c>
      <c r="H11" s="13"/>
      <c r="I11" s="4">
        <f t="shared" si="5"/>
        <v>2</v>
      </c>
      <c r="J11" s="13"/>
      <c r="K11" s="47"/>
      <c r="L11" s="47"/>
      <c r="M11" s="47"/>
      <c r="N11" s="47"/>
      <c r="O11" s="47"/>
      <c r="P11" s="47"/>
      <c r="Q11" s="47"/>
      <c r="R11" s="47"/>
      <c r="S11" s="47"/>
      <c r="T11" s="47"/>
      <c r="U11" s="47"/>
      <c r="V11" s="47"/>
      <c r="W11" s="52"/>
      <c r="X11" s="52"/>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row>
    <row r="12" spans="1:66" s="42" customFormat="1" ht="30" customHeight="1" thickBot="1" x14ac:dyDescent="0.3">
      <c r="A12" s="12"/>
      <c r="B12" s="48" t="s">
        <v>53</v>
      </c>
      <c r="C12" s="49" t="s">
        <v>31</v>
      </c>
      <c r="D12" s="49" t="s">
        <v>10</v>
      </c>
      <c r="E12" s="50">
        <v>1</v>
      </c>
      <c r="F12" s="46">
        <v>46115</v>
      </c>
      <c r="G12" s="46">
        <v>46132</v>
      </c>
      <c r="H12" s="13"/>
      <c r="I12" s="4"/>
      <c r="J12" s="13"/>
      <c r="K12" s="47"/>
      <c r="L12" s="47"/>
      <c r="M12" s="47"/>
      <c r="N12" s="47"/>
      <c r="O12" s="47"/>
      <c r="P12" s="47"/>
      <c r="Q12" s="47"/>
      <c r="R12" s="47"/>
      <c r="S12" s="47"/>
      <c r="T12" s="47"/>
      <c r="U12" s="47"/>
      <c r="V12" s="47"/>
      <c r="W12" s="52"/>
      <c r="X12" s="52"/>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row>
    <row r="13" spans="1:66" s="42" customFormat="1" ht="30" customHeight="1" thickBot="1" x14ac:dyDescent="0.3">
      <c r="A13" s="11"/>
      <c r="B13" s="48" t="s">
        <v>37</v>
      </c>
      <c r="C13" s="49" t="s">
        <v>60</v>
      </c>
      <c r="D13" s="49" t="s">
        <v>10</v>
      </c>
      <c r="E13" s="50">
        <v>1</v>
      </c>
      <c r="F13" s="46">
        <v>46115</v>
      </c>
      <c r="G13" s="46">
        <v>46132</v>
      </c>
      <c r="H13" s="13"/>
      <c r="I13" s="4">
        <f t="shared" si="5"/>
        <v>18</v>
      </c>
      <c r="J13" s="13"/>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row>
    <row r="14" spans="1:66" s="42" customFormat="1" ht="30" customHeight="1" thickBot="1" x14ac:dyDescent="0.3">
      <c r="A14" s="11"/>
      <c r="B14" s="48" t="s">
        <v>43</v>
      </c>
      <c r="C14" s="49" t="s">
        <v>62</v>
      </c>
      <c r="D14" s="49"/>
      <c r="E14" s="50">
        <v>1</v>
      </c>
      <c r="F14" s="51">
        <v>46132</v>
      </c>
      <c r="G14" s="51">
        <v>46133</v>
      </c>
      <c r="H14" s="13"/>
      <c r="I14" s="4"/>
      <c r="J14" s="13"/>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row>
    <row r="15" spans="1:66" s="42" customFormat="1" ht="30" customHeight="1" thickBot="1" x14ac:dyDescent="0.3">
      <c r="A15" s="11"/>
      <c r="B15" s="48" t="s">
        <v>36</v>
      </c>
      <c r="C15" s="49" t="s">
        <v>60</v>
      </c>
      <c r="D15" s="49" t="s">
        <v>10</v>
      </c>
      <c r="E15" s="50">
        <v>1</v>
      </c>
      <c r="F15" s="46">
        <v>46115</v>
      </c>
      <c r="G15" s="46">
        <v>46122</v>
      </c>
      <c r="H15" s="13"/>
      <c r="I15" s="4">
        <f t="shared" si="5"/>
        <v>8</v>
      </c>
      <c r="J15" s="13"/>
      <c r="K15" s="47"/>
      <c r="L15" s="47"/>
      <c r="M15" s="47"/>
      <c r="N15" s="47"/>
      <c r="O15" s="47"/>
      <c r="P15" s="47"/>
      <c r="Q15" s="47"/>
      <c r="R15" s="47"/>
      <c r="S15" s="47"/>
      <c r="T15" s="47"/>
      <c r="U15" s="47"/>
      <c r="V15" s="47"/>
      <c r="W15" s="47"/>
      <c r="X15" s="47"/>
      <c r="Y15" s="47"/>
      <c r="Z15" s="47"/>
      <c r="AA15" s="52"/>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row>
    <row r="16" spans="1:66" s="42" customFormat="1" ht="30" customHeight="1" thickBot="1" x14ac:dyDescent="0.3">
      <c r="A16" s="11"/>
      <c r="B16" s="48" t="s">
        <v>32</v>
      </c>
      <c r="C16" s="49" t="s">
        <v>63</v>
      </c>
      <c r="D16" s="49" t="s">
        <v>11</v>
      </c>
      <c r="E16" s="50">
        <v>1</v>
      </c>
      <c r="F16" s="51">
        <v>46117</v>
      </c>
      <c r="G16" s="51">
        <v>46132</v>
      </c>
      <c r="H16" s="13"/>
      <c r="I16" s="4">
        <f t="shared" si="5"/>
        <v>16</v>
      </c>
      <c r="J16" s="13"/>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row>
    <row r="17" spans="1:66" s="42" customFormat="1" ht="30" customHeight="1" thickBot="1" x14ac:dyDescent="0.3">
      <c r="A17" s="12"/>
      <c r="B17" s="53" t="s">
        <v>12</v>
      </c>
      <c r="C17" s="54"/>
      <c r="D17" s="54"/>
      <c r="E17" s="91"/>
      <c r="F17" s="55"/>
      <c r="G17" s="56"/>
      <c r="H17" s="13"/>
      <c r="I17" s="4" t="str">
        <f t="shared" si="5"/>
        <v/>
      </c>
      <c r="J17" s="13"/>
    </row>
    <row r="18" spans="1:66" s="42" customFormat="1" ht="30" customHeight="1" thickBot="1" x14ac:dyDescent="0.3">
      <c r="A18" s="12"/>
      <c r="B18" s="57" t="s">
        <v>64</v>
      </c>
      <c r="C18" s="58" t="s">
        <v>61</v>
      </c>
      <c r="D18" s="58" t="s">
        <v>10</v>
      </c>
      <c r="E18" s="59">
        <v>1</v>
      </c>
      <c r="F18" s="60">
        <v>46117</v>
      </c>
      <c r="G18" s="60">
        <v>46117</v>
      </c>
      <c r="H18" s="13"/>
      <c r="I18" s="4">
        <f t="shared" si="5"/>
        <v>1</v>
      </c>
      <c r="J18" s="13"/>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row>
    <row r="19" spans="1:66" s="42" customFormat="1" ht="30" customHeight="1" thickBot="1" x14ac:dyDescent="0.3">
      <c r="A19" s="11"/>
      <c r="B19" s="57" t="s">
        <v>65</v>
      </c>
      <c r="C19" s="58" t="s">
        <v>61</v>
      </c>
      <c r="D19" s="93" t="s">
        <v>38</v>
      </c>
      <c r="E19" s="50">
        <v>1</v>
      </c>
      <c r="F19" s="60">
        <v>46122</v>
      </c>
      <c r="G19" s="60">
        <v>46122</v>
      </c>
      <c r="H19" s="13"/>
      <c r="I19" s="4">
        <f t="shared" si="5"/>
        <v>1</v>
      </c>
      <c r="J19" s="13"/>
      <c r="K19" s="47"/>
      <c r="L19" s="47"/>
      <c r="M19" s="47"/>
      <c r="N19" s="47"/>
      <c r="O19" s="47"/>
      <c r="P19" s="47"/>
      <c r="Q19" s="47"/>
      <c r="R19" s="47"/>
      <c r="S19" s="47"/>
      <c r="T19" s="47"/>
      <c r="U19" s="47"/>
      <c r="V19" s="47"/>
      <c r="W19" s="52"/>
      <c r="X19" s="52"/>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row>
    <row r="20" spans="1:66" s="42" customFormat="1" ht="30" customHeight="1" thickBot="1" x14ac:dyDescent="0.3">
      <c r="A20" s="11"/>
      <c r="B20" s="57" t="s">
        <v>66</v>
      </c>
      <c r="C20" s="58" t="s">
        <v>62</v>
      </c>
      <c r="D20" s="94" t="s">
        <v>65</v>
      </c>
      <c r="E20" s="50">
        <v>1</v>
      </c>
      <c r="F20" s="60">
        <v>46122</v>
      </c>
      <c r="G20" s="60">
        <v>46129</v>
      </c>
      <c r="H20" s="13"/>
      <c r="I20" s="4">
        <f t="shared" si="5"/>
        <v>8</v>
      </c>
      <c r="J20" s="13"/>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row>
    <row r="21" spans="1:66" s="42" customFormat="1" ht="30" customHeight="1" thickBot="1" x14ac:dyDescent="0.3">
      <c r="A21" s="11"/>
      <c r="B21" s="57" t="s">
        <v>67</v>
      </c>
      <c r="C21" s="58" t="s">
        <v>62</v>
      </c>
      <c r="D21" s="94" t="s">
        <v>66</v>
      </c>
      <c r="E21" s="50">
        <v>1</v>
      </c>
      <c r="F21" s="60">
        <v>46122</v>
      </c>
      <c r="G21" s="60">
        <v>46129</v>
      </c>
      <c r="H21" s="13"/>
      <c r="I21" s="4">
        <f t="shared" si="5"/>
        <v>8</v>
      </c>
      <c r="J21" s="13"/>
      <c r="K21" s="47"/>
      <c r="L21" s="47"/>
      <c r="M21" s="47"/>
      <c r="N21" s="47"/>
      <c r="O21" s="47"/>
      <c r="P21" s="47"/>
      <c r="Q21" s="47"/>
      <c r="R21" s="47"/>
      <c r="S21" s="47"/>
      <c r="T21" s="47"/>
      <c r="U21" s="47"/>
      <c r="V21" s="47"/>
      <c r="W21" s="47"/>
      <c r="X21" s="47"/>
      <c r="Y21" s="47"/>
      <c r="Z21" s="47"/>
      <c r="AA21" s="52"/>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row>
    <row r="22" spans="1:66" s="42" customFormat="1" ht="30" customHeight="1" thickBot="1" x14ac:dyDescent="0.3">
      <c r="A22" s="11"/>
      <c r="B22" s="57" t="s">
        <v>70</v>
      </c>
      <c r="C22" s="58" t="s">
        <v>62</v>
      </c>
      <c r="D22" s="94" t="s">
        <v>67</v>
      </c>
      <c r="E22" s="50">
        <v>1</v>
      </c>
      <c r="F22" s="60">
        <v>46129</v>
      </c>
      <c r="G22" s="60">
        <v>46132</v>
      </c>
      <c r="H22" s="13"/>
      <c r="I22" s="4"/>
      <c r="J22" s="13"/>
      <c r="K22" s="47"/>
      <c r="L22" s="47"/>
      <c r="M22" s="47"/>
      <c r="N22" s="47"/>
      <c r="O22" s="47"/>
      <c r="P22" s="47"/>
      <c r="Q22" s="47"/>
      <c r="R22" s="47"/>
      <c r="S22" s="47"/>
      <c r="T22" s="47"/>
      <c r="U22" s="47"/>
      <c r="V22" s="47"/>
      <c r="W22" s="47"/>
      <c r="X22" s="47"/>
      <c r="Y22" s="47"/>
      <c r="Z22" s="47"/>
      <c r="AA22" s="52"/>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row>
    <row r="23" spans="1:66" s="42" customFormat="1" ht="30" customHeight="1" thickBot="1" x14ac:dyDescent="0.3">
      <c r="A23" s="11"/>
      <c r="B23" s="57" t="s">
        <v>68</v>
      </c>
      <c r="C23" s="58" t="s">
        <v>62</v>
      </c>
      <c r="D23" s="94" t="s">
        <v>71</v>
      </c>
      <c r="E23" s="50">
        <v>1</v>
      </c>
      <c r="F23" s="60">
        <v>46129</v>
      </c>
      <c r="G23" s="60">
        <v>46132</v>
      </c>
      <c r="H23" s="13"/>
      <c r="I23" s="4"/>
      <c r="J23" s="13"/>
      <c r="K23" s="47"/>
      <c r="L23" s="47"/>
      <c r="M23" s="47"/>
      <c r="N23" s="47"/>
      <c r="O23" s="47"/>
      <c r="P23" s="47"/>
      <c r="Q23" s="47"/>
      <c r="R23" s="47"/>
      <c r="S23" s="47"/>
      <c r="T23" s="47"/>
      <c r="U23" s="47"/>
      <c r="V23" s="47"/>
      <c r="W23" s="47"/>
      <c r="X23" s="47"/>
      <c r="Y23" s="47"/>
      <c r="Z23" s="47"/>
      <c r="AA23" s="52"/>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row>
    <row r="24" spans="1:66" s="42" customFormat="1" ht="30" customHeight="1" thickBot="1" x14ac:dyDescent="0.3">
      <c r="A24" s="11"/>
      <c r="B24" s="57" t="s">
        <v>48</v>
      </c>
      <c r="C24" s="58" t="s">
        <v>61</v>
      </c>
      <c r="D24" s="94" t="s">
        <v>55</v>
      </c>
      <c r="E24" s="50">
        <v>1</v>
      </c>
      <c r="F24" s="60">
        <v>46132</v>
      </c>
      <c r="G24" s="60">
        <v>46132</v>
      </c>
      <c r="H24" s="13"/>
      <c r="I24" s="4">
        <f t="shared" si="5"/>
        <v>1</v>
      </c>
      <c r="J24" s="13"/>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row>
    <row r="25" spans="1:66" s="42" customFormat="1" ht="30" customHeight="1" thickBot="1" x14ac:dyDescent="0.3">
      <c r="A25" s="11"/>
      <c r="B25" s="61" t="s">
        <v>13</v>
      </c>
      <c r="C25" s="62"/>
      <c r="D25" s="62"/>
      <c r="E25" s="90"/>
      <c r="F25" s="63"/>
      <c r="G25" s="64"/>
      <c r="H25" s="13"/>
      <c r="I25" s="4" t="str">
        <f t="shared" si="5"/>
        <v/>
      </c>
      <c r="J25" s="13"/>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row>
    <row r="26" spans="1:66" s="42" customFormat="1" ht="30" customHeight="1" thickBot="1" x14ac:dyDescent="0.3">
      <c r="A26" s="11"/>
      <c r="B26" s="66" t="s">
        <v>39</v>
      </c>
      <c r="C26" s="67" t="s">
        <v>31</v>
      </c>
      <c r="D26" s="67" t="s">
        <v>40</v>
      </c>
      <c r="E26" s="50">
        <v>1</v>
      </c>
      <c r="F26" s="68">
        <v>46118</v>
      </c>
      <c r="G26" s="68">
        <v>46118</v>
      </c>
      <c r="H26" s="13"/>
      <c r="I26" s="4">
        <f t="shared" si="5"/>
        <v>1</v>
      </c>
      <c r="J26" s="13"/>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row>
    <row r="27" spans="1:66" s="42" customFormat="1" ht="30" customHeight="1" thickBot="1" x14ac:dyDescent="0.3">
      <c r="A27" s="11"/>
      <c r="B27" s="66" t="s">
        <v>14</v>
      </c>
      <c r="C27" s="67" t="s">
        <v>31</v>
      </c>
      <c r="D27" s="67" t="s">
        <v>41</v>
      </c>
      <c r="E27" s="50">
        <v>1</v>
      </c>
      <c r="F27" s="68">
        <v>46132</v>
      </c>
      <c r="G27" s="68">
        <v>46132</v>
      </c>
      <c r="H27" s="13"/>
      <c r="I27" s="4">
        <f t="shared" si="5"/>
        <v>1</v>
      </c>
      <c r="J27" s="13"/>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row>
    <row r="28" spans="1:66" s="42" customFormat="1" ht="30" customHeight="1" thickBot="1" x14ac:dyDescent="0.3">
      <c r="A28" s="11"/>
      <c r="B28" s="66" t="s">
        <v>45</v>
      </c>
      <c r="C28" s="67" t="s">
        <v>31</v>
      </c>
      <c r="D28" s="67" t="s">
        <v>42</v>
      </c>
      <c r="E28" s="50">
        <v>1</v>
      </c>
      <c r="F28" s="68">
        <v>46132</v>
      </c>
      <c r="G28" s="68">
        <v>46132</v>
      </c>
      <c r="H28" s="13"/>
      <c r="I28" s="4">
        <f t="shared" si="5"/>
        <v>1</v>
      </c>
      <c r="J28" s="13"/>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row>
    <row r="29" spans="1:66" s="42" customFormat="1" ht="30" customHeight="1" thickBot="1" x14ac:dyDescent="0.3">
      <c r="A29" s="11"/>
      <c r="B29" s="66" t="s">
        <v>49</v>
      </c>
      <c r="C29" s="67" t="s">
        <v>31</v>
      </c>
      <c r="D29" s="95" t="s">
        <v>45</v>
      </c>
      <c r="E29" s="50">
        <v>1</v>
      </c>
      <c r="F29" s="68">
        <v>46132</v>
      </c>
      <c r="G29" s="68">
        <v>46133</v>
      </c>
      <c r="H29" s="13"/>
      <c r="I29" s="4">
        <f t="shared" si="5"/>
        <v>2</v>
      </c>
      <c r="J29" s="13"/>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row>
    <row r="30" spans="1:66" s="42" customFormat="1" ht="30" customHeight="1" thickBot="1" x14ac:dyDescent="0.3">
      <c r="A30" s="11"/>
      <c r="B30" s="69" t="s">
        <v>15</v>
      </c>
      <c r="C30" s="70"/>
      <c r="D30" s="70"/>
      <c r="E30" s="89"/>
      <c r="F30" s="71"/>
      <c r="G30" s="72"/>
      <c r="H30" s="13"/>
      <c r="I30" s="4" t="str">
        <f t="shared" si="5"/>
        <v/>
      </c>
      <c r="J30" s="13"/>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row>
    <row r="31" spans="1:66" s="42" customFormat="1" ht="30" customHeight="1" thickBot="1" x14ac:dyDescent="0.3">
      <c r="A31" s="11"/>
      <c r="B31" s="74" t="s">
        <v>56</v>
      </c>
      <c r="C31" s="75" t="s">
        <v>62</v>
      </c>
      <c r="D31" s="75" t="s">
        <v>50</v>
      </c>
      <c r="E31" s="50">
        <v>1</v>
      </c>
      <c r="F31" s="76">
        <v>46132</v>
      </c>
      <c r="G31" s="88">
        <v>46133</v>
      </c>
      <c r="H31" s="13"/>
      <c r="I31" s="4">
        <f t="shared" si="5"/>
        <v>2</v>
      </c>
      <c r="J31" s="1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row>
    <row r="32" spans="1:66" s="42" customFormat="1" ht="30" customHeight="1" thickBot="1" x14ac:dyDescent="0.3">
      <c r="A32" s="11"/>
      <c r="B32" s="74" t="s">
        <v>69</v>
      </c>
      <c r="C32" s="75" t="s">
        <v>60</v>
      </c>
      <c r="D32" s="111" t="s">
        <v>30</v>
      </c>
      <c r="E32" s="50">
        <v>1</v>
      </c>
      <c r="F32" s="76">
        <v>46115</v>
      </c>
      <c r="G32" s="88">
        <v>46133</v>
      </c>
      <c r="H32" s="13"/>
      <c r="I32" s="4">
        <f t="shared" si="5"/>
        <v>19</v>
      </c>
      <c r="J32" s="13"/>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row>
    <row r="33" spans="1:66" s="42" customFormat="1" ht="30" customHeight="1" thickBot="1" x14ac:dyDescent="0.3">
      <c r="A33" s="11"/>
      <c r="B33" s="74" t="s">
        <v>57</v>
      </c>
      <c r="C33" s="75" t="s">
        <v>60</v>
      </c>
      <c r="D33" s="75" t="s">
        <v>51</v>
      </c>
      <c r="E33" s="50">
        <v>1</v>
      </c>
      <c r="F33" s="76">
        <v>46122</v>
      </c>
      <c r="G33" s="88">
        <v>46133</v>
      </c>
      <c r="H33" s="13"/>
      <c r="I33" s="4">
        <f t="shared" si="5"/>
        <v>12</v>
      </c>
      <c r="J33" s="13"/>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row>
    <row r="34" spans="1:66" s="42" customFormat="1" ht="30" customHeight="1" thickBot="1" x14ac:dyDescent="0.3">
      <c r="A34" s="11"/>
      <c r="B34" s="74" t="s">
        <v>46</v>
      </c>
      <c r="C34" s="75" t="s">
        <v>62</v>
      </c>
      <c r="D34" s="75" t="s">
        <v>50</v>
      </c>
      <c r="E34" s="50">
        <v>1</v>
      </c>
      <c r="F34" s="76">
        <v>46132</v>
      </c>
      <c r="G34" s="88">
        <v>46133</v>
      </c>
      <c r="H34" s="13"/>
      <c r="I34" s="4"/>
      <c r="J34" s="13"/>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s="42" customFormat="1" ht="30" customHeight="1" thickBot="1" x14ac:dyDescent="0.3">
      <c r="A35" s="11"/>
      <c r="B35" s="74" t="s">
        <v>52</v>
      </c>
      <c r="C35" s="75" t="s">
        <v>62</v>
      </c>
      <c r="D35" s="75" t="s">
        <v>38</v>
      </c>
      <c r="E35" s="50">
        <v>1</v>
      </c>
      <c r="F35" s="76">
        <v>46117</v>
      </c>
      <c r="G35" s="88">
        <v>46117</v>
      </c>
      <c r="H35" s="13"/>
      <c r="I35" s="4"/>
      <c r="J35" s="13"/>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row>
    <row r="36" spans="1:66" s="42" customFormat="1" ht="30" customHeight="1" thickBot="1" x14ac:dyDescent="0.3">
      <c r="A36" s="11"/>
      <c r="B36" s="74" t="s">
        <v>54</v>
      </c>
      <c r="C36" s="75" t="s">
        <v>31</v>
      </c>
      <c r="D36" s="75" t="s">
        <v>30</v>
      </c>
      <c r="E36" s="50">
        <v>1</v>
      </c>
      <c r="F36" s="76">
        <v>46115</v>
      </c>
      <c r="G36" s="88">
        <v>46133</v>
      </c>
      <c r="H36" s="13"/>
      <c r="I36" s="4">
        <f t="shared" si="5"/>
        <v>19</v>
      </c>
      <c r="J36" s="13"/>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row>
    <row r="37" spans="1:66" s="42" customFormat="1" ht="30" customHeight="1" thickBot="1" x14ac:dyDescent="0.3">
      <c r="A37" s="11"/>
      <c r="B37" s="74" t="s">
        <v>33</v>
      </c>
      <c r="C37" s="75" t="s">
        <v>31</v>
      </c>
      <c r="D37" s="75" t="s">
        <v>49</v>
      </c>
      <c r="E37" s="50">
        <v>1</v>
      </c>
      <c r="F37" s="76">
        <v>46132</v>
      </c>
      <c r="G37" s="88">
        <v>46133</v>
      </c>
      <c r="H37" s="13"/>
      <c r="I37" s="4">
        <f t="shared" si="5"/>
        <v>2</v>
      </c>
      <c r="J37" s="13"/>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row>
    <row r="38" spans="1:66" s="42" customFormat="1" ht="30" customHeight="1" thickBot="1" x14ac:dyDescent="0.3">
      <c r="A38" s="11"/>
      <c r="B38" s="74" t="s">
        <v>47</v>
      </c>
      <c r="C38" s="75" t="s">
        <v>61</v>
      </c>
      <c r="D38" s="75" t="s">
        <v>30</v>
      </c>
      <c r="E38" s="50">
        <v>1</v>
      </c>
      <c r="F38" s="76">
        <v>46132</v>
      </c>
      <c r="G38" s="88">
        <v>46133</v>
      </c>
      <c r="H38" s="13"/>
      <c r="I38" s="4">
        <f t="shared" si="5"/>
        <v>2</v>
      </c>
      <c r="J38" s="13"/>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row>
    <row r="39" spans="1:66" s="42" customFormat="1" ht="30" customHeight="1" x14ac:dyDescent="0.25">
      <c r="A39" s="11"/>
      <c r="B39" s="74" t="s">
        <v>34</v>
      </c>
      <c r="C39" s="75" t="s">
        <v>61</v>
      </c>
      <c r="D39" s="75" t="s">
        <v>30</v>
      </c>
      <c r="E39" s="50">
        <v>1</v>
      </c>
      <c r="F39" s="76">
        <v>46133</v>
      </c>
      <c r="G39" s="88">
        <v>46133</v>
      </c>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row>
    <row r="40" spans="1:66" s="42" customFormat="1" ht="30" customHeight="1" x14ac:dyDescent="0.25">
      <c r="A40" s="12"/>
      <c r="B40" s="13"/>
      <c r="D40" s="13"/>
      <c r="E40" s="41"/>
      <c r="F40" s="41"/>
      <c r="G40" s="41"/>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row>
    <row r="41" spans="1:66" ht="30" customHeight="1" x14ac:dyDescent="0.25">
      <c r="B41" s="92" t="str">
        <f t="shared" si="5"/>
        <v/>
      </c>
      <c r="C41" s="42"/>
      <c r="D41" s="92"/>
      <c r="E41" s="77"/>
      <c r="F41" s="77"/>
      <c r="G41" s="77"/>
    </row>
    <row r="42" spans="1:66" ht="30" customHeight="1" x14ac:dyDescent="0.25">
      <c r="B42" s="3"/>
      <c r="F42"/>
    </row>
    <row r="43" spans="1:66" ht="30" customHeight="1" x14ac:dyDescent="0.25">
      <c r="F43"/>
    </row>
    <row r="44" spans="1:66" ht="30" customHeight="1" x14ac:dyDescent="0.25">
      <c r="F44"/>
    </row>
    <row r="45" spans="1:66" ht="30" customHeight="1" x14ac:dyDescent="0.25">
      <c r="F45"/>
    </row>
  </sheetData>
  <mergeCells count="19">
    <mergeCell ref="BH4:BN4"/>
    <mergeCell ref="K4:Q4"/>
    <mergeCell ref="R4:X4"/>
    <mergeCell ref="Y4:AE4"/>
    <mergeCell ref="AF4:AL4"/>
    <mergeCell ref="AM4:AS4"/>
    <mergeCell ref="AT4:AZ4"/>
    <mergeCell ref="BA4:BG4"/>
    <mergeCell ref="S2:AB2"/>
    <mergeCell ref="S1:AB1"/>
    <mergeCell ref="K1:Q1"/>
    <mergeCell ref="K2:Q2"/>
    <mergeCell ref="F5:F6"/>
    <mergeCell ref="C5:C6"/>
    <mergeCell ref="B5:B6"/>
    <mergeCell ref="D5:D6"/>
    <mergeCell ref="A5:A6"/>
    <mergeCell ref="G5:G6"/>
    <mergeCell ref="E5:E6"/>
  </mergeCells>
  <conditionalFormatting sqref="E7:E39">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K4:BN38">
    <cfRule type="expression" dxfId="8" priority="1">
      <formula>AND(TODAY()&gt;=K$5, TODAY()&lt;L$5)</formula>
    </cfRule>
  </conditionalFormatting>
  <conditionalFormatting sqref="K9:BN16">
    <cfRule type="expression" dxfId="7" priority="6">
      <formula>AND(task_start&lt;=K$5,ROUNDDOWN((task_end-task_start+1)*task_progress,0)+task_start-1&gt;=K$5)</formula>
    </cfRule>
    <cfRule type="expression" dxfId="6" priority="7" stopIfTrue="1">
      <formula>AND(task_end&gt;=K$5,task_start&lt;L$5)</formula>
    </cfRule>
  </conditionalFormatting>
  <conditionalFormatting sqref="K18:BN24">
    <cfRule type="expression" dxfId="5" priority="4">
      <formula>AND(task_start&lt;=K$5,ROUNDDOWN((task_end-task_start+1)*task_progress,0)+task_start-1&gt;=K$5)</formula>
    </cfRule>
    <cfRule type="expression" dxfId="4" priority="5" stopIfTrue="1">
      <formula>AND(task_end&gt;=K$5,task_start&lt;L$5)</formula>
    </cfRule>
  </conditionalFormatting>
  <conditionalFormatting sqref="K26:BN30">
    <cfRule type="expression" dxfId="3" priority="2">
      <formula>AND(task_start&lt;=K$5,ROUNDDOWN((task_end-task_start+1)*task_progress,0)+task_start-1&gt;=K$5)</formula>
    </cfRule>
    <cfRule type="expression" dxfId="2" priority="3" stopIfTrue="1">
      <formula>AND(task_end&gt;=K$5,task_start&lt;L$5)</formula>
    </cfRule>
  </conditionalFormatting>
  <conditionalFormatting sqref="K32:BN38">
    <cfRule type="expression" dxfId="1" priority="36">
      <formula>AND(task_start&lt;=K$5,ROUNDDOWN((task_end-task_start+1)*task_progress,0)+task_start-1&gt;=K$5)</formula>
    </cfRule>
    <cfRule type="expression" dxfId="0" priority="37" stopIfTrue="1">
      <formula>AND(task_end&gt;=K$5,task_start&lt;L$5)</formula>
    </cfRule>
  </conditionalFormatting>
  <dataValidations disablePrompts="1" count="13">
    <dataValidation type="whole" operator="greaterThanOrEqual" allowBlank="1" showInputMessage="1" promptTitle="Display Week" prompt="Changing this number will scroll the Gantt Chart view." sqref="S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A12"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7" xr:uid="{4F48FC41-E335-47F1-87AA-3333A52AD81C}"/>
    <dataValidation allowBlank="1" showInputMessage="1" showErrorMessage="1" prompt="Phase 3's sample block starts in cell B20." sqref="A25" xr:uid="{956902D1-D3B5-416D-BB69-9362D193BC0A}"/>
    <dataValidation allowBlank="1" showInputMessage="1" showErrorMessage="1" prompt="Phase 4's sample block starts in cell B26." sqref="A3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0"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5" customWidth="1"/>
    <col min="2" max="16384" width="9" style="1"/>
  </cols>
  <sheetData>
    <row r="1" spans="1:2" ht="46.5" customHeight="1" x14ac:dyDescent="0.25"/>
    <row r="2" spans="1:2" s="7" customFormat="1" ht="15.6" x14ac:dyDescent="0.25">
      <c r="A2" s="81" t="s">
        <v>16</v>
      </c>
      <c r="B2" s="6"/>
    </row>
    <row r="3" spans="1:2" s="9" customFormat="1" ht="27" customHeight="1" x14ac:dyDescent="0.25">
      <c r="A3" s="82"/>
      <c r="B3" s="10"/>
    </row>
    <row r="4" spans="1:2" s="8" customFormat="1" ht="30" x14ac:dyDescent="0.7">
      <c r="A4" s="83" t="s">
        <v>17</v>
      </c>
    </row>
    <row r="5" spans="1:2" ht="74.25" customHeight="1" x14ac:dyDescent="0.25">
      <c r="A5" s="84" t="s">
        <v>18</v>
      </c>
    </row>
    <row r="6" spans="1:2" ht="26.25" customHeight="1" x14ac:dyDescent="0.25">
      <c r="A6" s="83" t="s">
        <v>19</v>
      </c>
    </row>
    <row r="7" spans="1:2" s="5" customFormat="1" ht="205.2" customHeight="1" x14ac:dyDescent="0.25">
      <c r="A7" s="85" t="s">
        <v>20</v>
      </c>
    </row>
    <row r="8" spans="1:2" s="8" customFormat="1" ht="30" x14ac:dyDescent="0.7">
      <c r="A8" s="83" t="s">
        <v>21</v>
      </c>
    </row>
    <row r="9" spans="1:2" ht="41.4" x14ac:dyDescent="0.25">
      <c r="A9" s="84" t="s">
        <v>22</v>
      </c>
    </row>
    <row r="10" spans="1:2" s="5" customFormat="1" ht="28.2" customHeight="1" x14ac:dyDescent="0.25">
      <c r="A10" s="86" t="s">
        <v>23</v>
      </c>
    </row>
    <row r="11" spans="1:2" s="8" customFormat="1" ht="30" x14ac:dyDescent="0.7">
      <c r="A11" s="83" t="s">
        <v>24</v>
      </c>
    </row>
    <row r="12" spans="1:2" ht="27.6" x14ac:dyDescent="0.25">
      <c r="A12" s="84" t="s">
        <v>25</v>
      </c>
    </row>
    <row r="13" spans="1:2" s="5" customFormat="1" ht="28.2" customHeight="1" x14ac:dyDescent="0.25">
      <c r="A13" s="86" t="s">
        <v>26</v>
      </c>
    </row>
    <row r="14" spans="1:2" s="8" customFormat="1" ht="30" x14ac:dyDescent="0.7">
      <c r="A14" s="83" t="s">
        <v>27</v>
      </c>
    </row>
    <row r="15" spans="1:2" ht="75" customHeight="1" x14ac:dyDescent="0.25">
      <c r="A15" s="84" t="s">
        <v>28</v>
      </c>
    </row>
    <row r="16" spans="1:2" ht="69" x14ac:dyDescent="0.25">
      <c r="A16" s="84" t="s">
        <v>29</v>
      </c>
    </row>
    <row r="17" spans="1:1" x14ac:dyDescent="0.25">
      <c r="A17" s="87"/>
    </row>
    <row r="18" spans="1:1" x14ac:dyDescent="0.25">
      <c r="A18" s="87"/>
    </row>
    <row r="19" spans="1:1" x14ac:dyDescent="0.25">
      <c r="A19" s="87"/>
    </row>
    <row r="20" spans="1:1" x14ac:dyDescent="0.25">
      <c r="A20" s="87"/>
    </row>
    <row r="21" spans="1:1" x14ac:dyDescent="0.25">
      <c r="A21" s="87"/>
    </row>
    <row r="22" spans="1:1" x14ac:dyDescent="0.25">
      <c r="A22" s="87"/>
    </row>
    <row r="23" spans="1:1" x14ac:dyDescent="0.25">
      <c r="A23" s="87"/>
    </row>
    <row r="24" spans="1:1" x14ac:dyDescent="0.25">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Abdi Aden</dc:creator>
  <cp:keywords/>
  <dc:description/>
  <cp:lastModifiedBy>Nay Law Htoo</cp:lastModifiedBy>
  <cp:revision/>
  <dcterms:created xsi:type="dcterms:W3CDTF">2022-03-11T22:41:12Z</dcterms:created>
  <dcterms:modified xsi:type="dcterms:W3CDTF">2026-04-21T00:01:16Z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